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/Desktop/Todo/Hubs/PythonPowerFlow/"/>
    </mc:Choice>
  </mc:AlternateContent>
  <xr:revisionPtr revIDLastSave="0" documentId="13_ncr:1_{D0E3D0C0-4464-A849-9F79-D62184230924}" xr6:coauthVersionLast="47" xr6:coauthVersionMax="47" xr10:uidLastSave="{00000000-0000-0000-0000-000000000000}"/>
  <bookViews>
    <workbookView xWindow="3080" yWindow="2160" windowWidth="28040" windowHeight="17180" xr2:uid="{8CB9679D-7D4C-F342-9940-F960EF8220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 a="1"/>
  <c r="B7" i="1" s="1"/>
  <c r="E4" i="1" a="1"/>
  <c r="E4" i="1" s="1"/>
  <c r="F3" i="1" a="1"/>
  <c r="F3" i="1"/>
  <c r="F4" i="1" a="1"/>
  <c r="F4" i="1" s="1"/>
  <c r="E5" i="1" a="1"/>
  <c r="E5" i="1" s="1"/>
  <c r="C6" i="1" a="1"/>
  <c r="C6" i="1" s="1"/>
  <c r="D6" i="1" a="1"/>
  <c r="D6" i="1" s="1"/>
  <c r="F6" i="1" a="1"/>
  <c r="F6" i="1" s="1"/>
  <c r="C7" i="1" a="1"/>
  <c r="C7" i="1" s="1"/>
  <c r="E7" i="1" a="1"/>
  <c r="E7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cellMetadata count="1">
    <bk>
      <rc t="1" v="0"/>
    </bk>
  </cellMetadata>
  <valueMetadata count="5">
    <bk>
      <rc t="2" v="0"/>
    </bk>
    <bk>
      <rc t="2" v="1"/>
    </bk>
    <bk>
      <rc t="2" v="2"/>
    </bk>
    <bk>
      <rc t="2" v="3"/>
    </bk>
    <bk>
      <rc t="2" v="4"/>
    </bk>
  </valueMetadata>
</metadata>
</file>

<file path=xl/sharedStrings.xml><?xml version="1.0" encoding="utf-8"?>
<sst xmlns="http://schemas.openxmlformats.org/spreadsheetml/2006/main" count="17" uniqueCount="17">
  <si>
    <t>Bus</t>
  </si>
  <si>
    <t>Name</t>
  </si>
  <si>
    <t>Bus     1</t>
  </si>
  <si>
    <t>Bus     2</t>
  </si>
  <si>
    <t>Bus     3</t>
  </si>
  <si>
    <t>Bus     4</t>
  </si>
  <si>
    <t>Bus     5</t>
  </si>
  <si>
    <t>One</t>
  </si>
  <si>
    <t>3.73 - j49.72</t>
  </si>
  <si>
    <t>Two</t>
  </si>
  <si>
    <t>2.68 - j28.46</t>
  </si>
  <si>
    <t>Three</t>
  </si>
  <si>
    <t>7.46 - j99.44</t>
  </si>
  <si>
    <t>Four</t>
  </si>
  <si>
    <t>11.92 - j147.96</t>
  </si>
  <si>
    <t>Five</t>
  </si>
  <si>
    <t>9.09 - j108.58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</si>
</sst>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12</v>
    <v>72</v>
    <v>0</v>
  </rv>
  <rv s="0">
    <v>12</v>
    <v>92</v>
    <v>0</v>
  </rv>
  <rv s="0">
    <v>12</v>
    <v>84</v>
    <v>0</v>
  </rv>
  <rv s="0">
    <v>12</v>
    <v>44</v>
    <v>0</v>
  </rv>
  <rv s="0">
    <v>12</v>
    <v>68</v>
    <v>0</v>
  </rv>
</rvData>
</file>

<file path=xl/richData/rdrichvaluestructure.xml><?xml version="1.0" encoding="utf-8"?>
<rvStructures xmlns="http://schemas.microsoft.com/office/spreadsheetml/2017/richdata" count="1">
  <s t="_error">
    <k n="errorType" t="i"/>
    <k n="field" t="s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F0952-C8DE-B84C-9BB2-1370BF4223B6}">
  <dimension ref="A1:F7"/>
  <sheetViews>
    <sheetView tabSelected="1" workbookViewId="0">
      <selection activeCell="B7" sqref="B7"/>
    </sheetView>
  </sheetViews>
  <sheetFormatPr baseColWidth="10" defaultRowHeight="16" x14ac:dyDescent="0.2"/>
  <sheetData>
    <row r="1" spans="1:6" x14ac:dyDescent="0.2">
      <c r="A1" t="s">
        <v>0</v>
      </c>
    </row>
    <row r="2" spans="1:6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2">
      <c r="A3" t="s">
        <v>7</v>
      </c>
      <c r="B3" t="s">
        <v>8</v>
      </c>
      <c r="F3" t="e" cm="1" vm="1">
        <f t="array" ref="F3">-3.73 +_FV( J49,"72")</f>
        <v>#VALUE!</v>
      </c>
    </row>
    <row r="4" spans="1:6" x14ac:dyDescent="0.2">
      <c r="A4" t="s">
        <v>9</v>
      </c>
      <c r="C4" t="s">
        <v>10</v>
      </c>
      <c r="E4" t="e" cm="1" vm="2">
        <f t="array" ref="E4">-0.89+_FV(J9,"92")</f>
        <v>#VALUE!</v>
      </c>
      <c r="F4" t="e" cm="1" vm="3">
        <f t="array" ref="F4">-1.79 +_FV( J19,"84")</f>
        <v>#VALUE!</v>
      </c>
    </row>
    <row r="5" spans="1:6" x14ac:dyDescent="0.2">
      <c r="A5" t="s">
        <v>11</v>
      </c>
      <c r="D5" t="s">
        <v>12</v>
      </c>
      <c r="E5" t="e" cm="1" vm="4">
        <f t="array" ref="E5">-7.46 +_FV( J99,"44")</f>
        <v>#VALUE!</v>
      </c>
    </row>
    <row r="6" spans="1:6" x14ac:dyDescent="0.2">
      <c r="A6" t="s">
        <v>13</v>
      </c>
      <c r="C6" t="e" cm="1" vm="2">
        <f t="array" ref="C6">-0.89 +_FV( J9,"92")</f>
        <v>#VALUE!</v>
      </c>
      <c r="D6" t="e" cm="1" vm="4">
        <f t="array" ref="D6">-7.46 +_FV( J99,"44")</f>
        <v>#VALUE!</v>
      </c>
      <c r="E6" t="s">
        <v>14</v>
      </c>
      <c r="F6" t="e" cm="1" vm="5">
        <f t="array" ref="F6">-3.57 +_FV( J39,"68")</f>
        <v>#VALUE!</v>
      </c>
    </row>
    <row r="7" spans="1:6" x14ac:dyDescent="0.2">
      <c r="A7" t="s">
        <v>15</v>
      </c>
      <c r="B7" t="e" cm="1" vm="1">
        <f t="array" ref="B7">-3.73+_FV(J49,"72")</f>
        <v>#VALUE!</v>
      </c>
      <c r="C7" t="e" cm="1" vm="3">
        <f t="array" ref="C7">-1.79 +_FV( J19,"84")</f>
        <v>#VALUE!</v>
      </c>
      <c r="E7" t="e" cm="1" vm="5">
        <f t="array" ref="E7">-3.57 +_FV( J39,"68")</f>
        <v>#VALUE!</v>
      </c>
      <c r="F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Jose Florez Rodriguez</dc:creator>
  <cp:lastModifiedBy>David Jose Florez Rodriguez</cp:lastModifiedBy>
  <dcterms:created xsi:type="dcterms:W3CDTF">2026-03-30T17:00:13Z</dcterms:created>
  <dcterms:modified xsi:type="dcterms:W3CDTF">2026-03-31T03:02:30Z</dcterms:modified>
</cp:coreProperties>
</file>